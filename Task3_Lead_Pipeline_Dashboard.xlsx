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 Data" sheetId="1" r:id="rId1"/>
    <sheet name="Dashboard" sheetId="2" r:id="rId2"/>
  </sheets>
  <calcPr calcId="124519" fullCalcOnLoad="1"/>
</workbook>
</file>

<file path=xl/sharedStrings.xml><?xml version="1.0" encoding="utf-8"?>
<sst xmlns="http://schemas.openxmlformats.org/spreadsheetml/2006/main" count="542" uniqueCount="303">
  <si>
    <t>Lead ID</t>
  </si>
  <si>
    <t>Date Received</t>
  </si>
  <si>
    <t>Company Name</t>
  </si>
  <si>
    <t>Contact Person</t>
  </si>
  <si>
    <t>Email</t>
  </si>
  <si>
    <t>Lead Owner</t>
  </si>
  <si>
    <t>Acquisition Channel</t>
  </si>
  <si>
    <t>Lead Stage</t>
  </si>
  <si>
    <t>Priority</t>
  </si>
  <si>
    <t>Deal Value ($)</t>
  </si>
  <si>
    <t>Last Contact Date</t>
  </si>
  <si>
    <t>Days Since Last Contact</t>
  </si>
  <si>
    <t>Next Action</t>
  </si>
  <si>
    <t>Target Close Date</t>
  </si>
  <si>
    <t>L-1001</t>
  </si>
  <si>
    <t>Acme Corp</t>
  </si>
  <si>
    <t>Arthur Pendelton</t>
  </si>
  <si>
    <t>arthur@acme.co</t>
  </si>
  <si>
    <t>Sarah Jenkins</t>
  </si>
  <si>
    <t>LinkedIn</t>
  </si>
  <si>
    <t>Closed Won</t>
  </si>
  <si>
    <t>High</t>
  </si>
  <si>
    <t>Account Handover</t>
  </si>
  <si>
    <t>-</t>
  </si>
  <si>
    <t>L-1002</t>
  </si>
  <si>
    <t>BetaLabs</t>
  </si>
  <si>
    <t>Clara Oswald</t>
  </si>
  <si>
    <t>ap@betalabs.io</t>
  </si>
  <si>
    <t>David Chen</t>
  </si>
  <si>
    <t>Proposal</t>
  </si>
  <si>
    <t>Send contract addendum</t>
  </si>
  <si>
    <t>L-1003</t>
  </si>
  <si>
    <t>Apex Logistics</t>
  </si>
  <si>
    <t>Kenji Sato</t>
  </si>
  <si>
    <t>kenji@apexlog.com</t>
  </si>
  <si>
    <t>Marcus Vance</t>
  </si>
  <si>
    <t>Partner</t>
  </si>
  <si>
    <t>Qualified</t>
  </si>
  <si>
    <t>Medium</t>
  </si>
  <si>
    <t>Schedule NetSuite demo</t>
  </si>
  <si>
    <t>L-1004</t>
  </si>
  <si>
    <t>CyberShield</t>
  </si>
  <si>
    <t>Evelyn Reed</t>
  </si>
  <si>
    <t>e.reed@cybershield.net</t>
  </si>
  <si>
    <t>Chloe Patel</t>
  </si>
  <si>
    <t>Google Search</t>
  </si>
  <si>
    <t>Integrate banking API</t>
  </si>
  <si>
    <t>L-1005</t>
  </si>
  <si>
    <t>Vortex Media</t>
  </si>
  <si>
    <t>Liam Carter</t>
  </si>
  <si>
    <t>liam@vortex.media</t>
  </si>
  <si>
    <t>Cold Outreach</t>
  </si>
  <si>
    <t>Negotiation</t>
  </si>
  <si>
    <t>Follow up on credit terms</t>
  </si>
  <si>
    <t>L-1006</t>
  </si>
  <si>
    <t>Zeta Retail</t>
  </si>
  <si>
    <t>Sofia Martinez</t>
  </si>
  <si>
    <t>sofia@zetaretail.com</t>
  </si>
  <si>
    <t>Referral</t>
  </si>
  <si>
    <t>New</t>
  </si>
  <si>
    <t>Initial discovery call</t>
  </si>
  <si>
    <t>L-1007</t>
  </si>
  <si>
    <t>Quantum AI</t>
  </si>
  <si>
    <t>Ryan Sterling</t>
  </si>
  <si>
    <t>sterling@quantum.ai</t>
  </si>
  <si>
    <t>Webinars</t>
  </si>
  <si>
    <t>Closed Lost</t>
  </si>
  <si>
    <t>Lost to competitor</t>
  </si>
  <si>
    <t>L-1008</t>
  </si>
  <si>
    <t>CloudNexus</t>
  </si>
  <si>
    <t>Nolan Vance</t>
  </si>
  <si>
    <t>nolan@cloudnexus.io</t>
  </si>
  <si>
    <t>Contacted</t>
  </si>
  <si>
    <t>Send pricing matrix</t>
  </si>
  <si>
    <t>L-1009</t>
  </si>
  <si>
    <t>BioSphere</t>
  </si>
  <si>
    <t>Elena Rostova</t>
  </si>
  <si>
    <t>elena@biosphere.org</t>
  </si>
  <si>
    <t>Set up corporate cards</t>
  </si>
  <si>
    <t>L-1010</t>
  </si>
  <si>
    <t>Nova Fleet</t>
  </si>
  <si>
    <t>Devon Cole</t>
  </si>
  <si>
    <t>d.cole@novafleet.co</t>
  </si>
  <si>
    <t>Review custom card request</t>
  </si>
  <si>
    <t>L-1011</t>
  </si>
  <si>
    <t>InnoTech</t>
  </si>
  <si>
    <t>Marcus Aurelius</t>
  </si>
  <si>
    <t>marcus@innotech.it</t>
  </si>
  <si>
    <t>Approve billing agreement</t>
  </si>
  <si>
    <t>L-1012</t>
  </si>
  <si>
    <t>Echo Travel</t>
  </si>
  <si>
    <t>Zoe Washburne</t>
  </si>
  <si>
    <t>zoe@echotravel.com</t>
  </si>
  <si>
    <t>Low</t>
  </si>
  <si>
    <t>Completed onboarding</t>
  </si>
  <si>
    <t>L-1013</t>
  </si>
  <si>
    <t>Delta FinTech</t>
  </si>
  <si>
    <t>Silas Stone</t>
  </si>
  <si>
    <t>stone@deltafin.io</t>
  </si>
  <si>
    <t>Resend security whitepaper</t>
  </si>
  <si>
    <t>L-1014</t>
  </si>
  <si>
    <t>Titan Heavy</t>
  </si>
  <si>
    <t>Sarah Connor</t>
  </si>
  <si>
    <t>connor@titanheavy.com</t>
  </si>
  <si>
    <t>Book intro meeting</t>
  </si>
  <si>
    <t>L-1015</t>
  </si>
  <si>
    <t>Matrix Group</t>
  </si>
  <si>
    <t>Thomas Anderson</t>
  </si>
  <si>
    <t>neo@matrix.co</t>
  </si>
  <si>
    <t>Send custom integration quote</t>
  </si>
  <si>
    <t>L-1016</t>
  </si>
  <si>
    <t>Solaris Energy</t>
  </si>
  <si>
    <t>Dr. Kelvin</t>
  </si>
  <si>
    <t>kelvin@solaris.org</t>
  </si>
  <si>
    <t>Budget constraints</t>
  </si>
  <si>
    <t>L-1017</t>
  </si>
  <si>
    <t>Starlight Corp</t>
  </si>
  <si>
    <t>Jane Doe</t>
  </si>
  <si>
    <t>jane@starlight.com</t>
  </si>
  <si>
    <t>Onboarding session 1</t>
  </si>
  <si>
    <t>L-1018</t>
  </si>
  <si>
    <t>Omega Health</t>
  </si>
  <si>
    <t>James Watson</t>
  </si>
  <si>
    <t>watson@omega.health</t>
  </si>
  <si>
    <t>Follow up after demo</t>
  </si>
  <si>
    <t>L-1019</t>
  </si>
  <si>
    <t>Beacon Tech</t>
  </si>
  <si>
    <t>Bruce Wayne</t>
  </si>
  <si>
    <t>bruce@beacon.com</t>
  </si>
  <si>
    <t>Finalize card limit terms</t>
  </si>
  <si>
    <t>L-1020</t>
  </si>
  <si>
    <t>Astra Pharma</t>
  </si>
  <si>
    <t>Clara Barton</t>
  </si>
  <si>
    <t>barton@astrapharma.com</t>
  </si>
  <si>
    <t>Send API docs</t>
  </si>
  <si>
    <t>L-1021</t>
  </si>
  <si>
    <t>Prime Movers</t>
  </si>
  <si>
    <t>Tony Stark</t>
  </si>
  <si>
    <t>stark@primemovers.io</t>
  </si>
  <si>
    <t>Cold call follow-up</t>
  </si>
  <si>
    <t>L-1022</t>
  </si>
  <si>
    <t>Atlas Global</t>
  </si>
  <si>
    <t>Diana Prince</t>
  </si>
  <si>
    <t>diana@atlas.org</t>
  </si>
  <si>
    <t>Activate multi-currency</t>
  </si>
  <si>
    <t>L-1023</t>
  </si>
  <si>
    <t>Vanguard Law</t>
  </si>
  <si>
    <t>Harvey Specter</t>
  </si>
  <si>
    <t>specter@vanguard.law</t>
  </si>
  <si>
    <t>Schedule legal review</t>
  </si>
  <si>
    <t>L-1024</t>
  </si>
  <si>
    <t>Element Designs</t>
  </si>
  <si>
    <t>Peter Parker</t>
  </si>
  <si>
    <t>peter@element.co</t>
  </si>
  <si>
    <t>Send corporate card deck</t>
  </si>
  <si>
    <t>L-1025</t>
  </si>
  <si>
    <t>Summit Ventures</t>
  </si>
  <si>
    <t>Lara Croft</t>
  </si>
  <si>
    <t>lara@summit.org</t>
  </si>
  <si>
    <t>Schedule platform demo</t>
  </si>
  <si>
    <t>L-1026</t>
  </si>
  <si>
    <t>Nexus Freight</t>
  </si>
  <si>
    <t>Han Solo</t>
  </si>
  <si>
    <t>han@nexusfreight.com</t>
  </si>
  <si>
    <t>Lost to local provider</t>
  </si>
  <si>
    <t>L-1027</t>
  </si>
  <si>
    <t>Prism Creative</t>
  </si>
  <si>
    <t>Iris West</t>
  </si>
  <si>
    <t>iris@prism.io</t>
  </si>
  <si>
    <t>L-1028</t>
  </si>
  <si>
    <t>Helix Labs</t>
  </si>
  <si>
    <t>Walter Bishop</t>
  </si>
  <si>
    <t>walter@helixlabs.co</t>
  </si>
  <si>
    <t>Send updated bill pay pricing</t>
  </si>
  <si>
    <t>L-1029</t>
  </si>
  <si>
    <t>Infinity Retail</t>
  </si>
  <si>
    <t>Wanda Maximoff</t>
  </si>
  <si>
    <t>wanda@infinity.com</t>
  </si>
  <si>
    <t>Try alternative contact</t>
  </si>
  <si>
    <t>L-1030</t>
  </si>
  <si>
    <t>Apex Builders</t>
  </si>
  <si>
    <t>Bob Builder</t>
  </si>
  <si>
    <t>bob@apexbuilders.io</t>
  </si>
  <si>
    <t>Account set up finished</t>
  </si>
  <si>
    <t>L-1031</t>
  </si>
  <si>
    <t>Core Consulting</t>
  </si>
  <si>
    <t>Arthur Dent</t>
  </si>
  <si>
    <t>dent@coreconsult.com</t>
  </si>
  <si>
    <t>Send customized proposal</t>
  </si>
  <si>
    <t>L-1032</t>
  </si>
  <si>
    <t>Stellar Ops</t>
  </si>
  <si>
    <t>Carol Danvers</t>
  </si>
  <si>
    <t>carol@stellarops.net</t>
  </si>
  <si>
    <t>Assign card manager roles</t>
  </si>
  <si>
    <t>L-1033</t>
  </si>
  <si>
    <t>Zephyr Aviation</t>
  </si>
  <si>
    <t>Hal Jordan</t>
  </si>
  <si>
    <t>jordan@zephyrav.com</t>
  </si>
  <si>
    <t>Internal delay, deferred</t>
  </si>
  <si>
    <t>L-1034</t>
  </si>
  <si>
    <t>Horizon Media</t>
  </si>
  <si>
    <t>Barry Allen</t>
  </si>
  <si>
    <t>barry@horizon.com</t>
  </si>
  <si>
    <t>Schedule follow-up call</t>
  </si>
  <si>
    <t>L-1035</t>
  </si>
  <si>
    <t>Alpha Security</t>
  </si>
  <si>
    <t>John McClane</t>
  </si>
  <si>
    <t>john@alphasec.io</t>
  </si>
  <si>
    <t>Send compliance checklist</t>
  </si>
  <si>
    <t>L-1036</t>
  </si>
  <si>
    <t>Pioneer Biotech</t>
  </si>
  <si>
    <t>Reed Richards</t>
  </si>
  <si>
    <t>reed@pioneerbio.org</t>
  </si>
  <si>
    <t>Setup NetSuite ERP integration</t>
  </si>
  <si>
    <t>L-1037</t>
  </si>
  <si>
    <t>Falcon Logistics</t>
  </si>
  <si>
    <t>Sam Wilson</t>
  </si>
  <si>
    <t>sam@falcon.com</t>
  </si>
  <si>
    <t>Introductory email</t>
  </si>
  <si>
    <t>L-1038</t>
  </si>
  <si>
    <t>Silver Lining</t>
  </si>
  <si>
    <t>Bruce Banner</t>
  </si>
  <si>
    <t>banner@silverlining.org</t>
  </si>
  <si>
    <t>Complete setup call</t>
  </si>
  <si>
    <t>L-1039</t>
  </si>
  <si>
    <t>Genesis Digital</t>
  </si>
  <si>
    <t>Charles Xavier</t>
  </si>
  <si>
    <t>xavier@genesis.edu</t>
  </si>
  <si>
    <t>Follow up on invoice matching questions</t>
  </si>
  <si>
    <t>L-1040</t>
  </si>
  <si>
    <t>Krypton Materials</t>
  </si>
  <si>
    <t>Clark Kent</t>
  </si>
  <si>
    <t>kent@krypton.com</t>
  </si>
  <si>
    <t>Setup high value clearing accounts</t>
  </si>
  <si>
    <t>L-1041</t>
  </si>
  <si>
    <t>Dynasty Trade</t>
  </si>
  <si>
    <t>Alexis Carrington</t>
  </si>
  <si>
    <t>alexis@dynasty.co</t>
  </si>
  <si>
    <t>Review contract adjustments</t>
  </si>
  <si>
    <t>L-1042</t>
  </si>
  <si>
    <t>Sentinel Systems</t>
  </si>
  <si>
    <t>Trish Walker</t>
  </si>
  <si>
    <t>trish@sentinel.net</t>
  </si>
  <si>
    <t>Selected cheaper provider</t>
  </si>
  <si>
    <t>L-1043</t>
  </si>
  <si>
    <t>Polaris Retail</t>
  </si>
  <si>
    <t>Lorna Dane</t>
  </si>
  <si>
    <t>lorna@polaris.com</t>
  </si>
  <si>
    <t>Send product brochure</t>
  </si>
  <si>
    <t>L-1044</t>
  </si>
  <si>
    <t>Cascade Waters</t>
  </si>
  <si>
    <t>Arthur Curry</t>
  </si>
  <si>
    <t>curry@cascade.org</t>
  </si>
  <si>
    <t>Completed setup</t>
  </si>
  <si>
    <t>L-1045</t>
  </si>
  <si>
    <t>Odin Enterprises</t>
  </si>
  <si>
    <t>Loki Laufeyson</t>
  </si>
  <si>
    <t>loki@odin.org</t>
  </si>
  <si>
    <t>Send customized card limits spreadsheet</t>
  </si>
  <si>
    <t>L-1046</t>
  </si>
  <si>
    <t>Hyperion Systems</t>
  </si>
  <si>
    <t>Mark Milton</t>
  </si>
  <si>
    <t>milton@hyperion.com</t>
  </si>
  <si>
    <t>Cold outreach call</t>
  </si>
  <si>
    <t>L-1047</t>
  </si>
  <si>
    <t>Valhalla Spirits</t>
  </si>
  <si>
    <t>Thor Odinson</t>
  </si>
  <si>
    <t>thor@valhalla.com</t>
  </si>
  <si>
    <t>Confirm board approval date</t>
  </si>
  <si>
    <t>L-1048</t>
  </si>
  <si>
    <t>Asgard Freight</t>
  </si>
  <si>
    <t>Heimdall Allsight</t>
  </si>
  <si>
    <t>heimdall@asgard.com</t>
  </si>
  <si>
    <t>Complete user profile upload</t>
  </si>
  <si>
    <t>L-1049</t>
  </si>
  <si>
    <t>Midgard Metals</t>
  </si>
  <si>
    <t>Jane Foster</t>
  </si>
  <si>
    <t>jane@midgard.org</t>
  </si>
  <si>
    <t>Decided to keep manual processes</t>
  </si>
  <si>
    <t>L-1050</t>
  </si>
  <si>
    <t>Jotunheim Cooling</t>
  </si>
  <si>
    <t>Laufey Frost</t>
  </si>
  <si>
    <t>laufey@jotunheim.com</t>
  </si>
  <si>
    <t>Re-attempt call with manager</t>
  </si>
  <si>
    <t>SALES PIPELINE &amp; LEAD MANAGEMENT DASHBOARD</t>
  </si>
  <si>
    <t>Volopay Growth Squad Operational Console — Generated July 14, 2026</t>
  </si>
  <si>
    <t>TOTAL LEADS RECEIVED</t>
  </si>
  <si>
    <t>CLOSED WON DEALS</t>
  </si>
  <si>
    <t>CONVERSION / WIN RATE</t>
  </si>
  <si>
    <t>ACTIVE PIPELINE VALUE</t>
  </si>
  <si>
    <t>HIGH PRIORITY STALE (&gt;10d)</t>
  </si>
  <si>
    <t>TOTAL WON REVENUE (ARR)</t>
  </si>
  <si>
    <t>Acquisition Channel Performance</t>
  </si>
  <si>
    <t>Pipeline Stage Distribution</t>
  </si>
  <si>
    <t>Channel</t>
  </si>
  <si>
    <t>Leads Count</t>
  </si>
  <si>
    <t>Won Revenue</t>
  </si>
  <si>
    <t>Total</t>
  </si>
  <si>
    <t>Deals Count</t>
  </si>
  <si>
    <t>Total Value</t>
  </si>
  <si>
    <t>Urgent Action Items: Neglected &amp; High-Priority Open Leads</t>
  </si>
  <si>
    <t>Days Stale</t>
  </si>
  <si>
    <t>Recommended Action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</si>
</sst>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$#,##0"/>
    <numFmt numFmtId="166" formatCode="0.0%"/>
  </numFmts>
  <fonts count="13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sz val="10"/>
      <color theme="1"/>
      <name val="Segoe UI"/>
      <family val="2"/>
    </font>
    <font>
      <sz val="11"/>
      <color rgb="FF9F1239"/>
      <name val="Segoe UI"/>
      <family val="2"/>
    </font>
    <font>
      <sz val="11"/>
      <color rgb="FF9A3412"/>
      <name val="Segoe UI"/>
      <family val="2"/>
    </font>
    <font>
      <b/>
      <sz val="18"/>
      <color rgb="FFFFFFFF"/>
      <name val="Segoe UI"/>
      <family val="2"/>
    </font>
    <font>
      <i/>
      <sz val="10"/>
      <color rgb="FF94A3B8"/>
      <name val="Segoe UI"/>
      <family val="2"/>
    </font>
    <font>
      <sz val="8.5"/>
      <color rgb="FF64748B"/>
      <name val="Segoe UI"/>
      <family val="2"/>
    </font>
    <font>
      <b/>
      <sz val="16"/>
      <color rgb="FF0F172A"/>
      <name val="Segoe UI"/>
      <family val="2"/>
    </font>
    <font>
      <b/>
      <sz val="16"/>
      <color theme="1"/>
      <name val="Segoe UI"/>
      <family val="2"/>
    </font>
    <font>
      <b/>
      <sz val="16"/>
      <color rgb="FF1B4D3E"/>
      <name val="Segoe UI"/>
      <family val="2"/>
    </font>
    <font>
      <b/>
      <sz val="12"/>
      <color rgb="FF0F172A"/>
      <name val="Segoe UI"/>
      <family val="2"/>
    </font>
    <font>
      <b/>
      <sz val="10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ECDD3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medium">
        <color rgb="FF0F172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/>
    <xf numFmtId="165" fontId="2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/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top"/>
    </xf>
    <xf numFmtId="0" fontId="8" fillId="6" borderId="1" xfId="0" applyFont="1" applyFill="1" applyBorder="1" applyAlignment="1">
      <alignment horizontal="center"/>
    </xf>
    <xf numFmtId="166" fontId="9" fillId="6" borderId="1" xfId="0" applyNumberFormat="1" applyFont="1" applyFill="1" applyBorder="1" applyAlignment="1">
      <alignment horizontal="center"/>
    </xf>
    <xf numFmtId="165" fontId="9" fillId="6" borderId="1" xfId="0" applyNumberFormat="1" applyFont="1" applyFill="1" applyBorder="1" applyAlignment="1">
      <alignment horizontal="center"/>
    </xf>
    <xf numFmtId="165" fontId="10" fillId="7" borderId="1" xfId="0" applyNumberFormat="1" applyFont="1" applyFill="1" applyBorder="1" applyAlignment="1">
      <alignment horizontal="center"/>
    </xf>
    <xf numFmtId="0" fontId="11" fillId="0" borderId="2" xfId="0" applyFont="1" applyBorder="1"/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3">
    <dxf>
      <font>
        <color rgb="FF065F46"/>
      </font>
      <fill>
        <patternFill>
          <bgColor rgb="FFD1FAE5"/>
        </patternFill>
      </fill>
      <border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color rgb="FF9F1239"/>
      </font>
      <fill>
        <patternFill>
          <bgColor rgb="FFFECDD3"/>
        </patternFill>
      </fill>
      <border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ont>
        <color rgb="FF9A3412"/>
      </font>
      <fill>
        <patternFill>
          <bgColor rgb="FFFFEDD5"/>
        </patternFill>
      </fill>
      <border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latin typeface="Segoe UI"/>
              </a:defRPr>
            </a:pPr>
            <a:r>
              <a:rPr lang="en-US" sz="1100" b="1" baseline="0">
                <a:latin typeface="Segoe UI"/>
              </a:rPr>
              <a:t>Won Revenue by Channel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Dashboard!$D$9</c:f>
              <c:strCache>
                <c:ptCount val="1"/>
                <c:pt idx="0">
                  <c:v>Won Revenue</c:v>
                </c:pt>
              </c:strCache>
            </c:strRef>
          </c:tx>
          <c:spPr>
            <a:solidFill>
              <a:srgbClr val="6366F1"/>
            </a:solidFill>
          </c:spPr>
          <c:dLbls>
            <c:showVal val="1"/>
          </c:dLbls>
          <c:cat>
            <c:strRef>
              <c:f>Dashboard!$B$10:$B$15</c:f>
              <c:strCache>
                <c:ptCount val="6"/>
                <c:pt idx="0">
                  <c:v>LinkedIn</c:v>
                </c:pt>
                <c:pt idx="1">
                  <c:v>Google Search</c:v>
                </c:pt>
                <c:pt idx="2">
                  <c:v>Cold Outreach</c:v>
                </c:pt>
                <c:pt idx="3">
                  <c:v>Referral</c:v>
                </c:pt>
                <c:pt idx="4">
                  <c:v>Partner</c:v>
                </c:pt>
                <c:pt idx="5">
                  <c:v>Webinars</c:v>
                </c:pt>
              </c:strCache>
            </c:strRef>
          </c:cat>
          <c:val>
            <c:numRef>
              <c:f>Dashboard!$D$10:$D$15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$#,##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latin typeface="Segoe UI"/>
              </a:defRPr>
            </a:pPr>
            <a:r>
              <a:rPr lang="en-US" sz="1100" b="1" baseline="0">
                <a:latin typeface="Segoe UI"/>
              </a:rPr>
              <a:t>Leads Count by Pipeline Stage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Dashboard!$G$9</c:f>
              <c:strCache>
                <c:ptCount val="1"/>
                <c:pt idx="0">
                  <c:v>Deals Count</c:v>
                </c:pt>
              </c:strCache>
            </c:strRef>
          </c:tx>
          <c:spPr>
            <a:solidFill>
              <a:srgbClr val="1E293B"/>
            </a:solidFill>
          </c:spPr>
          <c:cat>
            <c:strRef>
              <c:f>Dashboard!$F$10:$F$16</c:f>
              <c:strCache>
                <c:ptCount val="7"/>
                <c:pt idx="0">
                  <c:v>New</c:v>
                </c:pt>
                <c:pt idx="1">
                  <c:v>Contacted</c:v>
                </c:pt>
                <c:pt idx="2">
                  <c:v>Qualified</c:v>
                </c:pt>
                <c:pt idx="3">
                  <c:v>Proposal</c:v>
                </c:pt>
                <c:pt idx="4">
                  <c:v>Negotiation</c:v>
                </c:pt>
                <c:pt idx="5">
                  <c:v>Closed Won</c:v>
                </c:pt>
                <c:pt idx="6">
                  <c:v>Closed Lost</c:v>
                </c:pt>
              </c:strCache>
            </c:strRef>
          </c:cat>
          <c:val>
            <c:numRef>
              <c:f>Dashboard!$G$10:$G$16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27</xdr:row>
      <xdr:rowOff>0</xdr:rowOff>
    </xdr:from>
    <xdr:to>
      <xdr:col>5</xdr:col>
      <xdr:colOff>533400</xdr:colOff>
      <xdr:row>39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27</xdr:row>
      <xdr:rowOff>0</xdr:rowOff>
    </xdr:from>
    <xdr:to>
      <xdr:col>9</xdr:col>
      <xdr:colOff>333375</xdr:colOff>
      <xdr:row>39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cols>
    <col min="1" max="1" width="10.7109375" customWidth="1"/>
    <col min="2" max="2" width="14.7109375" customWidth="1"/>
    <col min="3" max="3" width="20.7109375" customWidth="1"/>
    <col min="4" max="4" width="16.7109375" customWidth="1"/>
    <col min="5" max="5" width="24.7109375" customWidth="1"/>
    <col min="6" max="6" width="14.7109375" customWidth="1"/>
    <col min="7" max="7" width="18.7109375" customWidth="1"/>
    <col min="8" max="8" width="14.7109375" customWidth="1"/>
    <col min="9" max="9" width="10.7109375" customWidth="1"/>
    <col min="10" max="10" width="14.7109375" customWidth="1"/>
    <col min="11" max="11" width="16.7109375" customWidth="1"/>
    <col min="12" max="12" width="22.7109375" customWidth="1"/>
    <col min="13" max="13" width="28.7109375" customWidth="1"/>
    <col min="14" max="14" width="16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46216</v>
      </c>
      <c r="C2" s="4" t="s">
        <v>15</v>
      </c>
      <c r="D2" s="4" t="s">
        <v>16</v>
      </c>
      <c r="E2" s="4" t="s">
        <v>17</v>
      </c>
      <c r="F2" s="2" t="s">
        <v>18</v>
      </c>
      <c r="G2" s="2" t="s">
        <v>19</v>
      </c>
      <c r="H2" s="2" t="s">
        <v>20</v>
      </c>
      <c r="I2" s="5" t="s">
        <v>21</v>
      </c>
      <c r="J2" s="6">
        <v>75000</v>
      </c>
      <c r="K2" s="3">
        <v>46216</v>
      </c>
      <c r="L2" s="2">
        <f>IF(OR(H2="Closed Won",H2="Closed Lost"), "-", DATE(2026,7,14)-K2)</f>
        <v>0</v>
      </c>
      <c r="M2" s="4" t="s">
        <v>22</v>
      </c>
      <c r="N2" s="2" t="s">
        <v>23</v>
      </c>
    </row>
    <row r="3" spans="1:14">
      <c r="A3" s="2" t="s">
        <v>24</v>
      </c>
      <c r="B3" s="3">
        <v>46214</v>
      </c>
      <c r="C3" s="4" t="s">
        <v>25</v>
      </c>
      <c r="D3" s="4" t="s">
        <v>26</v>
      </c>
      <c r="E3" s="4" t="s">
        <v>27</v>
      </c>
      <c r="F3" s="2" t="s">
        <v>28</v>
      </c>
      <c r="G3" s="2" t="s">
        <v>19</v>
      </c>
      <c r="H3" s="2" t="s">
        <v>29</v>
      </c>
      <c r="I3" s="5" t="s">
        <v>21</v>
      </c>
      <c r="J3" s="6">
        <v>24000</v>
      </c>
      <c r="K3" s="3">
        <v>46213</v>
      </c>
      <c r="L3" s="2">
        <f>IF(OR(H3="Closed Won",H3="Closed Lost"), "-", DATE(2026,7,14)-K3)</f>
        <v>0</v>
      </c>
      <c r="M3" s="4" t="s">
        <v>30</v>
      </c>
      <c r="N3" s="3">
        <v>46232</v>
      </c>
    </row>
    <row r="4" spans="1:14">
      <c r="A4" s="2" t="s">
        <v>31</v>
      </c>
      <c r="B4" s="3">
        <v>46212</v>
      </c>
      <c r="C4" s="4" t="s">
        <v>32</v>
      </c>
      <c r="D4" s="4" t="s">
        <v>33</v>
      </c>
      <c r="E4" s="4" t="s">
        <v>34</v>
      </c>
      <c r="F4" s="2" t="s">
        <v>35</v>
      </c>
      <c r="G4" s="2" t="s">
        <v>36</v>
      </c>
      <c r="H4" s="2" t="s">
        <v>37</v>
      </c>
      <c r="I4" s="7" t="s">
        <v>38</v>
      </c>
      <c r="J4" s="6">
        <v>120000</v>
      </c>
      <c r="K4" s="3">
        <v>46215</v>
      </c>
      <c r="L4" s="2">
        <f>IF(OR(H4="Closed Won",H4="Closed Lost"), "-", DATE(2026,7,14)-K4)</f>
        <v>0</v>
      </c>
      <c r="M4" s="4" t="s">
        <v>39</v>
      </c>
      <c r="N4" s="3">
        <v>46277</v>
      </c>
    </row>
    <row r="5" spans="1:14">
      <c r="A5" s="2" t="s">
        <v>40</v>
      </c>
      <c r="B5" s="3">
        <v>46211</v>
      </c>
      <c r="C5" s="4" t="s">
        <v>41</v>
      </c>
      <c r="D5" s="4" t="s">
        <v>42</v>
      </c>
      <c r="E5" s="4" t="s">
        <v>43</v>
      </c>
      <c r="F5" s="2" t="s">
        <v>44</v>
      </c>
      <c r="G5" s="2" t="s">
        <v>45</v>
      </c>
      <c r="H5" s="2" t="s">
        <v>20</v>
      </c>
      <c r="I5" s="5" t="s">
        <v>21</v>
      </c>
      <c r="J5" s="6">
        <v>45000</v>
      </c>
      <c r="K5" s="3">
        <v>46212</v>
      </c>
      <c r="L5" s="2">
        <f>IF(OR(H5="Closed Won",H5="Closed Lost"), "-", DATE(2026,7,14)-K5)</f>
        <v>0</v>
      </c>
      <c r="M5" s="4" t="s">
        <v>46</v>
      </c>
      <c r="N5" s="2" t="s">
        <v>23</v>
      </c>
    </row>
    <row r="6" spans="1:14">
      <c r="A6" s="2" t="s">
        <v>47</v>
      </c>
      <c r="B6" s="3">
        <v>46209</v>
      </c>
      <c r="C6" s="4" t="s">
        <v>48</v>
      </c>
      <c r="D6" s="4" t="s">
        <v>49</v>
      </c>
      <c r="E6" s="4" t="s">
        <v>50</v>
      </c>
      <c r="F6" s="2" t="s">
        <v>28</v>
      </c>
      <c r="G6" s="2" t="s">
        <v>51</v>
      </c>
      <c r="H6" s="2" t="s">
        <v>52</v>
      </c>
      <c r="I6" s="5" t="s">
        <v>21</v>
      </c>
      <c r="J6" s="6">
        <v>35000</v>
      </c>
      <c r="K6" s="3">
        <v>46201</v>
      </c>
      <c r="L6" s="2">
        <f>IF(OR(H6="Closed Won",H6="Closed Lost"), "-", DATE(2026,7,14)-K6)</f>
        <v>0</v>
      </c>
      <c r="M6" s="4" t="s">
        <v>53</v>
      </c>
      <c r="N6" s="3">
        <v>46227</v>
      </c>
    </row>
    <row r="7" spans="1:14">
      <c r="A7" s="2" t="s">
        <v>54</v>
      </c>
      <c r="B7" s="3">
        <v>46207</v>
      </c>
      <c r="C7" s="4" t="s">
        <v>55</v>
      </c>
      <c r="D7" s="4" t="s">
        <v>56</v>
      </c>
      <c r="E7" s="4" t="s">
        <v>57</v>
      </c>
      <c r="F7" s="2" t="s">
        <v>18</v>
      </c>
      <c r="G7" s="2" t="s">
        <v>58</v>
      </c>
      <c r="H7" s="2" t="s">
        <v>59</v>
      </c>
      <c r="I7" s="7" t="s">
        <v>38</v>
      </c>
      <c r="J7" s="6">
        <v>18000</v>
      </c>
      <c r="K7" s="3">
        <v>46207</v>
      </c>
      <c r="L7" s="2">
        <f>IF(OR(H7="Closed Won",H7="Closed Lost"), "-", DATE(2026,7,14)-K7)</f>
        <v>0</v>
      </c>
      <c r="M7" s="4" t="s">
        <v>60</v>
      </c>
      <c r="N7" s="3">
        <v>46262</v>
      </c>
    </row>
    <row r="8" spans="1:14">
      <c r="A8" s="2" t="s">
        <v>61</v>
      </c>
      <c r="B8" s="3">
        <v>46205</v>
      </c>
      <c r="C8" s="4" t="s">
        <v>62</v>
      </c>
      <c r="D8" s="4" t="s">
        <v>63</v>
      </c>
      <c r="E8" s="4" t="s">
        <v>64</v>
      </c>
      <c r="F8" s="2" t="s">
        <v>44</v>
      </c>
      <c r="G8" s="2" t="s">
        <v>65</v>
      </c>
      <c r="H8" s="2" t="s">
        <v>66</v>
      </c>
      <c r="I8" s="7" t="s">
        <v>38</v>
      </c>
      <c r="J8" s="6">
        <v>65000</v>
      </c>
      <c r="K8" s="3">
        <v>46213</v>
      </c>
      <c r="L8" s="2">
        <f>IF(OR(H8="Closed Won",H8="Closed Lost"), "-", DATE(2026,7,14)-K8)</f>
        <v>0</v>
      </c>
      <c r="M8" s="4" t="s">
        <v>67</v>
      </c>
      <c r="N8" s="2" t="s">
        <v>23</v>
      </c>
    </row>
    <row r="9" spans="1:14">
      <c r="A9" s="2" t="s">
        <v>68</v>
      </c>
      <c r="B9" s="3">
        <v>46205</v>
      </c>
      <c r="C9" s="4" t="s">
        <v>69</v>
      </c>
      <c r="D9" s="4" t="s">
        <v>70</v>
      </c>
      <c r="E9" s="4" t="s">
        <v>71</v>
      </c>
      <c r="F9" s="2" t="s">
        <v>35</v>
      </c>
      <c r="G9" s="2" t="s">
        <v>45</v>
      </c>
      <c r="H9" s="2" t="s">
        <v>72</v>
      </c>
      <c r="I9" s="5" t="s">
        <v>21</v>
      </c>
      <c r="J9" s="6">
        <v>50000</v>
      </c>
      <c r="K9" s="3">
        <v>46203</v>
      </c>
      <c r="L9" s="2">
        <f>IF(OR(H9="Closed Won",H9="Closed Lost"), "-", DATE(2026,7,14)-K9)</f>
        <v>0</v>
      </c>
      <c r="M9" s="4" t="s">
        <v>73</v>
      </c>
      <c r="N9" s="3">
        <v>46247</v>
      </c>
    </row>
    <row r="10" spans="1:14">
      <c r="A10" s="2" t="s">
        <v>74</v>
      </c>
      <c r="B10" s="3">
        <v>46203</v>
      </c>
      <c r="C10" s="4" t="s">
        <v>75</v>
      </c>
      <c r="D10" s="4" t="s">
        <v>76</v>
      </c>
      <c r="E10" s="4" t="s">
        <v>77</v>
      </c>
      <c r="F10" s="2" t="s">
        <v>18</v>
      </c>
      <c r="G10" s="2" t="s">
        <v>19</v>
      </c>
      <c r="H10" s="2" t="s">
        <v>20</v>
      </c>
      <c r="I10" s="7" t="s">
        <v>38</v>
      </c>
      <c r="J10" s="6">
        <v>28000</v>
      </c>
      <c r="K10" s="3">
        <v>46215</v>
      </c>
      <c r="L10" s="2">
        <f>IF(OR(H10="Closed Won",H10="Closed Lost"), "-", DATE(2026,7,14)-K10)</f>
        <v>0</v>
      </c>
      <c r="M10" s="4" t="s">
        <v>78</v>
      </c>
      <c r="N10" s="2" t="s">
        <v>23</v>
      </c>
    </row>
    <row r="11" spans="1:14">
      <c r="A11" s="2" t="s">
        <v>79</v>
      </c>
      <c r="B11" s="3">
        <v>46202</v>
      </c>
      <c r="C11" s="4" t="s">
        <v>80</v>
      </c>
      <c r="D11" s="4" t="s">
        <v>81</v>
      </c>
      <c r="E11" s="4" t="s">
        <v>82</v>
      </c>
      <c r="F11" s="2" t="s">
        <v>28</v>
      </c>
      <c r="G11" s="2" t="s">
        <v>51</v>
      </c>
      <c r="H11" s="2" t="s">
        <v>29</v>
      </c>
      <c r="I11" s="5" t="s">
        <v>21</v>
      </c>
      <c r="J11" s="6">
        <v>85000</v>
      </c>
      <c r="K11" s="3">
        <v>46205</v>
      </c>
      <c r="L11" s="2">
        <f>IF(OR(H11="Closed Won",H11="Closed Lost"), "-", DATE(2026,7,14)-K11)</f>
        <v>0</v>
      </c>
      <c r="M11" s="4" t="s">
        <v>83</v>
      </c>
      <c r="N11" s="3">
        <v>46229</v>
      </c>
    </row>
    <row r="12" spans="1:14">
      <c r="A12" s="2" t="s">
        <v>84</v>
      </c>
      <c r="B12" s="3">
        <v>46201</v>
      </c>
      <c r="C12" s="4" t="s">
        <v>85</v>
      </c>
      <c r="D12" s="4" t="s">
        <v>86</v>
      </c>
      <c r="E12" s="4" t="s">
        <v>87</v>
      </c>
      <c r="F12" s="2" t="s">
        <v>35</v>
      </c>
      <c r="G12" s="2" t="s">
        <v>58</v>
      </c>
      <c r="H12" s="2" t="s">
        <v>52</v>
      </c>
      <c r="I12" s="5" t="s">
        <v>21</v>
      </c>
      <c r="J12" s="6">
        <v>95000</v>
      </c>
      <c r="K12" s="3">
        <v>46199</v>
      </c>
      <c r="L12" s="2">
        <f>IF(OR(H12="Closed Won",H12="Closed Lost"), "-", DATE(2026,7,14)-K12)</f>
        <v>0</v>
      </c>
      <c r="M12" s="4" t="s">
        <v>88</v>
      </c>
      <c r="N12" s="3">
        <v>46224</v>
      </c>
    </row>
    <row r="13" spans="1:14">
      <c r="A13" s="2" t="s">
        <v>89</v>
      </c>
      <c r="B13" s="3">
        <v>46199</v>
      </c>
      <c r="C13" s="4" t="s">
        <v>90</v>
      </c>
      <c r="D13" s="4" t="s">
        <v>91</v>
      </c>
      <c r="E13" s="4" t="s">
        <v>92</v>
      </c>
      <c r="F13" s="2" t="s">
        <v>18</v>
      </c>
      <c r="G13" s="2" t="s">
        <v>45</v>
      </c>
      <c r="H13" s="2" t="s">
        <v>20</v>
      </c>
      <c r="I13" s="2" t="s">
        <v>93</v>
      </c>
      <c r="J13" s="6">
        <v>15000</v>
      </c>
      <c r="K13" s="3">
        <v>46216</v>
      </c>
      <c r="L13" s="2">
        <f>IF(OR(H13="Closed Won",H13="Closed Lost"), "-", DATE(2026,7,14)-K13)</f>
        <v>0</v>
      </c>
      <c r="M13" s="4" t="s">
        <v>94</v>
      </c>
      <c r="N13" s="2" t="s">
        <v>23</v>
      </c>
    </row>
    <row r="14" spans="1:14">
      <c r="A14" s="2" t="s">
        <v>95</v>
      </c>
      <c r="B14" s="3">
        <v>46197</v>
      </c>
      <c r="C14" s="4" t="s">
        <v>96</v>
      </c>
      <c r="D14" s="4" t="s">
        <v>97</v>
      </c>
      <c r="E14" s="4" t="s">
        <v>98</v>
      </c>
      <c r="F14" s="2" t="s">
        <v>44</v>
      </c>
      <c r="G14" s="2" t="s">
        <v>36</v>
      </c>
      <c r="H14" s="2" t="s">
        <v>72</v>
      </c>
      <c r="I14" s="5" t="s">
        <v>21</v>
      </c>
      <c r="J14" s="6">
        <v>110000</v>
      </c>
      <c r="K14" s="3">
        <v>46202</v>
      </c>
      <c r="L14" s="2">
        <f>IF(OR(H14="Closed Won",H14="Closed Lost"), "-", DATE(2026,7,14)-K14)</f>
        <v>0</v>
      </c>
      <c r="M14" s="4" t="s">
        <v>99</v>
      </c>
      <c r="N14" s="3">
        <v>46252</v>
      </c>
    </row>
    <row r="15" spans="1:14">
      <c r="A15" s="2" t="s">
        <v>100</v>
      </c>
      <c r="B15" s="3">
        <v>46196</v>
      </c>
      <c r="C15" s="4" t="s">
        <v>101</v>
      </c>
      <c r="D15" s="4" t="s">
        <v>102</v>
      </c>
      <c r="E15" s="4" t="s">
        <v>103</v>
      </c>
      <c r="F15" s="2" t="s">
        <v>35</v>
      </c>
      <c r="G15" s="2" t="s">
        <v>51</v>
      </c>
      <c r="H15" s="2" t="s">
        <v>59</v>
      </c>
      <c r="I15" s="2" t="s">
        <v>93</v>
      </c>
      <c r="J15" s="6">
        <v>60000</v>
      </c>
      <c r="K15" s="3">
        <v>46196</v>
      </c>
      <c r="L15" s="2">
        <f>IF(OR(H15="Closed Won",H15="Closed Lost"), "-", DATE(2026,7,14)-K15)</f>
        <v>0</v>
      </c>
      <c r="M15" s="4" t="s">
        <v>104</v>
      </c>
      <c r="N15" s="3">
        <v>46277</v>
      </c>
    </row>
    <row r="16" spans="1:14">
      <c r="A16" s="2" t="s">
        <v>105</v>
      </c>
      <c r="B16" s="3">
        <v>46195</v>
      </c>
      <c r="C16" s="4" t="s">
        <v>106</v>
      </c>
      <c r="D16" s="4" t="s">
        <v>107</v>
      </c>
      <c r="E16" s="4" t="s">
        <v>108</v>
      </c>
      <c r="F16" s="2" t="s">
        <v>28</v>
      </c>
      <c r="G16" s="2" t="s">
        <v>19</v>
      </c>
      <c r="H16" s="2" t="s">
        <v>29</v>
      </c>
      <c r="I16" s="7" t="s">
        <v>38</v>
      </c>
      <c r="J16" s="6">
        <v>40000</v>
      </c>
      <c r="K16" s="3">
        <v>46209</v>
      </c>
      <c r="L16" s="2">
        <f>IF(OR(H16="Closed Won",H16="Closed Lost"), "-", DATE(2026,7,14)-K16)</f>
        <v>0</v>
      </c>
      <c r="M16" s="4" t="s">
        <v>109</v>
      </c>
      <c r="N16" s="3">
        <v>46237</v>
      </c>
    </row>
    <row r="17" spans="1:14">
      <c r="A17" s="2" t="s">
        <v>110</v>
      </c>
      <c r="B17" s="3">
        <v>46193</v>
      </c>
      <c r="C17" s="4" t="s">
        <v>111</v>
      </c>
      <c r="D17" s="4" t="s">
        <v>112</v>
      </c>
      <c r="E17" s="4" t="s">
        <v>113</v>
      </c>
      <c r="F17" s="2" t="s">
        <v>18</v>
      </c>
      <c r="G17" s="2" t="s">
        <v>65</v>
      </c>
      <c r="H17" s="2" t="s">
        <v>66</v>
      </c>
      <c r="I17" s="2" t="s">
        <v>93</v>
      </c>
      <c r="J17" s="6">
        <v>30000</v>
      </c>
      <c r="K17" s="3">
        <v>46207</v>
      </c>
      <c r="L17" s="2">
        <f>IF(OR(H17="Closed Won",H17="Closed Lost"), "-", DATE(2026,7,14)-K17)</f>
        <v>0</v>
      </c>
      <c r="M17" s="4" t="s">
        <v>114</v>
      </c>
      <c r="N17" s="2" t="s">
        <v>23</v>
      </c>
    </row>
    <row r="18" spans="1:14">
      <c r="A18" s="2" t="s">
        <v>115</v>
      </c>
      <c r="B18" s="3">
        <v>46192</v>
      </c>
      <c r="C18" s="4" t="s">
        <v>116</v>
      </c>
      <c r="D18" s="4" t="s">
        <v>117</v>
      </c>
      <c r="E18" s="4" t="s">
        <v>118</v>
      </c>
      <c r="F18" s="2" t="s">
        <v>44</v>
      </c>
      <c r="G18" s="2" t="s">
        <v>45</v>
      </c>
      <c r="H18" s="2" t="s">
        <v>20</v>
      </c>
      <c r="I18" s="7" t="s">
        <v>38</v>
      </c>
      <c r="J18" s="6">
        <v>52000</v>
      </c>
      <c r="K18" s="3">
        <v>46212</v>
      </c>
      <c r="L18" s="2">
        <f>IF(OR(H18="Closed Won",H18="Closed Lost"), "-", DATE(2026,7,14)-K18)</f>
        <v>0</v>
      </c>
      <c r="M18" s="4" t="s">
        <v>119</v>
      </c>
      <c r="N18" s="2" t="s">
        <v>23</v>
      </c>
    </row>
    <row r="19" spans="1:14">
      <c r="A19" s="2" t="s">
        <v>120</v>
      </c>
      <c r="B19" s="3">
        <v>46191</v>
      </c>
      <c r="C19" s="4" t="s">
        <v>121</v>
      </c>
      <c r="D19" s="4" t="s">
        <v>122</v>
      </c>
      <c r="E19" s="4" t="s">
        <v>123</v>
      </c>
      <c r="F19" s="2" t="s">
        <v>28</v>
      </c>
      <c r="G19" s="2" t="s">
        <v>58</v>
      </c>
      <c r="H19" s="2" t="s">
        <v>72</v>
      </c>
      <c r="I19" s="7" t="s">
        <v>38</v>
      </c>
      <c r="J19" s="6">
        <v>22000</v>
      </c>
      <c r="K19" s="3">
        <v>46205</v>
      </c>
      <c r="L19" s="2">
        <f>IF(OR(H19="Closed Won",H19="Closed Lost"), "-", DATE(2026,7,14)-K19)</f>
        <v>0</v>
      </c>
      <c r="M19" s="4" t="s">
        <v>124</v>
      </c>
      <c r="N19" s="3">
        <v>46245</v>
      </c>
    </row>
    <row r="20" spans="1:14">
      <c r="A20" s="2" t="s">
        <v>125</v>
      </c>
      <c r="B20" s="3">
        <v>46189</v>
      </c>
      <c r="C20" s="4" t="s">
        <v>126</v>
      </c>
      <c r="D20" s="4" t="s">
        <v>127</v>
      </c>
      <c r="E20" s="4" t="s">
        <v>128</v>
      </c>
      <c r="F20" s="2" t="s">
        <v>35</v>
      </c>
      <c r="G20" s="2" t="s">
        <v>19</v>
      </c>
      <c r="H20" s="2" t="s">
        <v>29</v>
      </c>
      <c r="I20" s="5" t="s">
        <v>21</v>
      </c>
      <c r="J20" s="6">
        <v>140000</v>
      </c>
      <c r="K20" s="3">
        <v>46197</v>
      </c>
      <c r="L20" s="2">
        <f>IF(OR(H20="Closed Won",H20="Closed Lost"), "-", DATE(2026,7,14)-K20)</f>
        <v>0</v>
      </c>
      <c r="M20" s="4" t="s">
        <v>129</v>
      </c>
      <c r="N20" s="3">
        <v>46225</v>
      </c>
    </row>
    <row r="21" spans="1:14">
      <c r="A21" s="2" t="s">
        <v>130</v>
      </c>
      <c r="B21" s="3">
        <v>46187</v>
      </c>
      <c r="C21" s="4" t="s">
        <v>131</v>
      </c>
      <c r="D21" s="4" t="s">
        <v>132</v>
      </c>
      <c r="E21" s="4" t="s">
        <v>133</v>
      </c>
      <c r="F21" s="2" t="s">
        <v>18</v>
      </c>
      <c r="G21" s="2" t="s">
        <v>36</v>
      </c>
      <c r="H21" s="2" t="s">
        <v>37</v>
      </c>
      <c r="I21" s="2" t="s">
        <v>93</v>
      </c>
      <c r="J21" s="6">
        <v>70000</v>
      </c>
      <c r="K21" s="3">
        <v>46210</v>
      </c>
      <c r="L21" s="2">
        <f>IF(OR(H21="Closed Won",H21="Closed Lost"), "-", DATE(2026,7,14)-K21)</f>
        <v>0</v>
      </c>
      <c r="M21" s="4" t="s">
        <v>134</v>
      </c>
      <c r="N21" s="3">
        <v>46267</v>
      </c>
    </row>
    <row r="22" spans="1:14">
      <c r="A22" s="2" t="s">
        <v>135</v>
      </c>
      <c r="B22" s="3">
        <v>46186</v>
      </c>
      <c r="C22" s="4" t="s">
        <v>136</v>
      </c>
      <c r="D22" s="4" t="s">
        <v>137</v>
      </c>
      <c r="E22" s="4" t="s">
        <v>138</v>
      </c>
      <c r="F22" s="2" t="s">
        <v>44</v>
      </c>
      <c r="G22" s="2" t="s">
        <v>51</v>
      </c>
      <c r="H22" s="2" t="s">
        <v>59</v>
      </c>
      <c r="I22" s="5" t="s">
        <v>21</v>
      </c>
      <c r="J22" s="6">
        <v>90000</v>
      </c>
      <c r="K22" s="3">
        <v>46186</v>
      </c>
      <c r="L22" s="2">
        <f>IF(OR(H22="Closed Won",H22="Closed Lost"), "-", DATE(2026,7,14)-K22)</f>
        <v>0</v>
      </c>
      <c r="M22" s="4" t="s">
        <v>139</v>
      </c>
      <c r="N22" s="3">
        <v>46307</v>
      </c>
    </row>
    <row r="23" spans="1:14">
      <c r="A23" s="2" t="s">
        <v>140</v>
      </c>
      <c r="B23" s="3">
        <v>46185</v>
      </c>
      <c r="C23" s="4" t="s">
        <v>141</v>
      </c>
      <c r="D23" s="4" t="s">
        <v>142</v>
      </c>
      <c r="E23" s="4" t="s">
        <v>143</v>
      </c>
      <c r="F23" s="2" t="s">
        <v>28</v>
      </c>
      <c r="G23" s="2" t="s">
        <v>45</v>
      </c>
      <c r="H23" s="2" t="s">
        <v>20</v>
      </c>
      <c r="I23" s="5" t="s">
        <v>21</v>
      </c>
      <c r="J23" s="6">
        <v>130000</v>
      </c>
      <c r="K23" s="3">
        <v>46215</v>
      </c>
      <c r="L23" s="2">
        <f>IF(OR(H23="Closed Won",H23="Closed Lost"), "-", DATE(2026,7,14)-K23)</f>
        <v>0</v>
      </c>
      <c r="M23" s="4" t="s">
        <v>144</v>
      </c>
      <c r="N23" s="2" t="s">
        <v>23</v>
      </c>
    </row>
    <row r="24" spans="1:14">
      <c r="A24" s="2" t="s">
        <v>145</v>
      </c>
      <c r="B24" s="3">
        <v>46182</v>
      </c>
      <c r="C24" s="4" t="s">
        <v>146</v>
      </c>
      <c r="D24" s="4" t="s">
        <v>147</v>
      </c>
      <c r="E24" s="4" t="s">
        <v>148</v>
      </c>
      <c r="F24" s="2" t="s">
        <v>35</v>
      </c>
      <c r="G24" s="2" t="s">
        <v>58</v>
      </c>
      <c r="H24" s="2" t="s">
        <v>52</v>
      </c>
      <c r="I24" s="5" t="s">
        <v>21</v>
      </c>
      <c r="J24" s="6">
        <v>80000</v>
      </c>
      <c r="K24" s="3">
        <v>46202</v>
      </c>
      <c r="L24" s="2">
        <f>IF(OR(H24="Closed Won",H24="Closed Lost"), "-", DATE(2026,7,14)-K24)</f>
        <v>0</v>
      </c>
      <c r="M24" s="4" t="s">
        <v>149</v>
      </c>
      <c r="N24" s="3">
        <v>46222</v>
      </c>
    </row>
    <row r="25" spans="1:14">
      <c r="A25" s="2" t="s">
        <v>150</v>
      </c>
      <c r="B25" s="3">
        <v>46181</v>
      </c>
      <c r="C25" s="4" t="s">
        <v>151</v>
      </c>
      <c r="D25" s="4" t="s">
        <v>152</v>
      </c>
      <c r="E25" s="4" t="s">
        <v>153</v>
      </c>
      <c r="F25" s="2" t="s">
        <v>18</v>
      </c>
      <c r="G25" s="2" t="s">
        <v>19</v>
      </c>
      <c r="H25" s="2" t="s">
        <v>72</v>
      </c>
      <c r="I25" s="2" t="s">
        <v>93</v>
      </c>
      <c r="J25" s="6">
        <v>12000</v>
      </c>
      <c r="K25" s="3">
        <v>46211</v>
      </c>
      <c r="L25" s="2">
        <f>IF(OR(H25="Closed Won",H25="Closed Lost"), "-", DATE(2026,7,14)-K25)</f>
        <v>0</v>
      </c>
      <c r="M25" s="4" t="s">
        <v>154</v>
      </c>
      <c r="N25" s="3">
        <v>46257</v>
      </c>
    </row>
    <row r="26" spans="1:14">
      <c r="A26" s="2" t="s">
        <v>155</v>
      </c>
      <c r="B26" s="3">
        <v>46179</v>
      </c>
      <c r="C26" s="4" t="s">
        <v>156</v>
      </c>
      <c r="D26" s="4" t="s">
        <v>157</v>
      </c>
      <c r="E26" s="4" t="s">
        <v>158</v>
      </c>
      <c r="F26" s="2" t="s">
        <v>44</v>
      </c>
      <c r="G26" s="2" t="s">
        <v>65</v>
      </c>
      <c r="H26" s="2" t="s">
        <v>37</v>
      </c>
      <c r="I26" s="7" t="s">
        <v>38</v>
      </c>
      <c r="J26" s="6">
        <v>55000</v>
      </c>
      <c r="K26" s="3">
        <v>46209</v>
      </c>
      <c r="L26" s="2">
        <f>IF(OR(H26="Closed Won",H26="Closed Lost"), "-", DATE(2026,7,14)-K26)</f>
        <v>0</v>
      </c>
      <c r="M26" s="4" t="s">
        <v>159</v>
      </c>
      <c r="N26" s="3">
        <v>46252</v>
      </c>
    </row>
    <row r="27" spans="1:14">
      <c r="A27" s="2" t="s">
        <v>160</v>
      </c>
      <c r="B27" s="3">
        <v>46177</v>
      </c>
      <c r="C27" s="4" t="s">
        <v>161</v>
      </c>
      <c r="D27" s="4" t="s">
        <v>162</v>
      </c>
      <c r="E27" s="4" t="s">
        <v>163</v>
      </c>
      <c r="F27" s="2" t="s">
        <v>35</v>
      </c>
      <c r="G27" s="2" t="s">
        <v>36</v>
      </c>
      <c r="H27" s="2" t="s">
        <v>66</v>
      </c>
      <c r="I27" s="5" t="s">
        <v>21</v>
      </c>
      <c r="J27" s="6">
        <v>115000</v>
      </c>
      <c r="K27" s="3">
        <v>46212</v>
      </c>
      <c r="L27" s="2">
        <f>IF(OR(H27="Closed Won",H27="Closed Lost"), "-", DATE(2026,7,14)-K27)</f>
        <v>0</v>
      </c>
      <c r="M27" s="4" t="s">
        <v>164</v>
      </c>
      <c r="N27" s="2" t="s">
        <v>23</v>
      </c>
    </row>
    <row r="28" spans="1:14">
      <c r="A28" s="2" t="s">
        <v>165</v>
      </c>
      <c r="B28" s="3">
        <v>46175</v>
      </c>
      <c r="C28" s="4" t="s">
        <v>166</v>
      </c>
      <c r="D28" s="4" t="s">
        <v>167</v>
      </c>
      <c r="E28" s="4" t="s">
        <v>168</v>
      </c>
      <c r="F28" s="2" t="s">
        <v>28</v>
      </c>
      <c r="G28" s="2" t="s">
        <v>45</v>
      </c>
      <c r="H28" s="2" t="s">
        <v>20</v>
      </c>
      <c r="I28" s="7" t="s">
        <v>38</v>
      </c>
      <c r="J28" s="6">
        <v>25000</v>
      </c>
      <c r="K28" s="3">
        <v>46216</v>
      </c>
      <c r="L28" s="2">
        <f>IF(OR(H28="Closed Won",H28="Closed Lost"), "-", DATE(2026,7,14)-K28)</f>
        <v>0</v>
      </c>
      <c r="M28" s="4" t="s">
        <v>94</v>
      </c>
      <c r="N28" s="2" t="s">
        <v>23</v>
      </c>
    </row>
    <row r="29" spans="1:14">
      <c r="A29" s="2" t="s">
        <v>169</v>
      </c>
      <c r="B29" s="3">
        <v>46173</v>
      </c>
      <c r="C29" s="4" t="s">
        <v>170</v>
      </c>
      <c r="D29" s="4" t="s">
        <v>171</v>
      </c>
      <c r="E29" s="4" t="s">
        <v>172</v>
      </c>
      <c r="F29" s="2" t="s">
        <v>18</v>
      </c>
      <c r="G29" s="2" t="s">
        <v>19</v>
      </c>
      <c r="H29" s="2" t="s">
        <v>52</v>
      </c>
      <c r="I29" s="7" t="s">
        <v>38</v>
      </c>
      <c r="J29" s="6">
        <v>60000</v>
      </c>
      <c r="K29" s="3">
        <v>46208</v>
      </c>
      <c r="L29" s="2">
        <f>IF(OR(H29="Closed Won",H29="Closed Lost"), "-", DATE(2026,7,14)-K29)</f>
        <v>0</v>
      </c>
      <c r="M29" s="4" t="s">
        <v>173</v>
      </c>
      <c r="N29" s="3">
        <v>46231</v>
      </c>
    </row>
    <row r="30" spans="1:14">
      <c r="A30" s="2" t="s">
        <v>174</v>
      </c>
      <c r="B30" s="3">
        <v>46172</v>
      </c>
      <c r="C30" s="4" t="s">
        <v>175</v>
      </c>
      <c r="D30" s="4" t="s">
        <v>176</v>
      </c>
      <c r="E30" s="4" t="s">
        <v>177</v>
      </c>
      <c r="F30" s="2" t="s">
        <v>44</v>
      </c>
      <c r="G30" s="2" t="s">
        <v>51</v>
      </c>
      <c r="H30" s="2" t="s">
        <v>59</v>
      </c>
      <c r="I30" s="7" t="s">
        <v>38</v>
      </c>
      <c r="J30" s="6">
        <v>32000</v>
      </c>
      <c r="K30" s="3">
        <v>46172</v>
      </c>
      <c r="L30" s="2">
        <f>IF(OR(H30="Closed Won",H30="Closed Lost"), "-", DATE(2026,7,14)-K30)</f>
        <v>0</v>
      </c>
      <c r="M30" s="4" t="s">
        <v>178</v>
      </c>
      <c r="N30" s="3">
        <v>46292</v>
      </c>
    </row>
    <row r="31" spans="1:14">
      <c r="A31" s="2" t="s">
        <v>179</v>
      </c>
      <c r="B31" s="3">
        <v>46172</v>
      </c>
      <c r="C31" s="4" t="s">
        <v>180</v>
      </c>
      <c r="D31" s="4" t="s">
        <v>181</v>
      </c>
      <c r="E31" s="4" t="s">
        <v>182</v>
      </c>
      <c r="F31" s="2" t="s">
        <v>35</v>
      </c>
      <c r="G31" s="2" t="s">
        <v>58</v>
      </c>
      <c r="H31" s="2" t="s">
        <v>20</v>
      </c>
      <c r="I31" s="2" t="s">
        <v>93</v>
      </c>
      <c r="J31" s="6">
        <v>45000</v>
      </c>
      <c r="K31" s="3">
        <v>46214</v>
      </c>
      <c r="L31" s="2">
        <f>IF(OR(H31="Closed Won",H31="Closed Lost"), "-", DATE(2026,7,14)-K31)</f>
        <v>0</v>
      </c>
      <c r="M31" s="4" t="s">
        <v>183</v>
      </c>
      <c r="N31" s="2" t="s">
        <v>23</v>
      </c>
    </row>
    <row r="32" spans="1:14">
      <c r="A32" s="2" t="s">
        <v>184</v>
      </c>
      <c r="B32" s="3">
        <v>46171</v>
      </c>
      <c r="C32" s="4" t="s">
        <v>185</v>
      </c>
      <c r="D32" s="4" t="s">
        <v>186</v>
      </c>
      <c r="E32" s="4" t="s">
        <v>187</v>
      </c>
      <c r="F32" s="2" t="s">
        <v>28</v>
      </c>
      <c r="G32" s="2" t="s">
        <v>45</v>
      </c>
      <c r="H32" s="2" t="s">
        <v>29</v>
      </c>
      <c r="I32" s="2" t="s">
        <v>93</v>
      </c>
      <c r="J32" s="6">
        <v>20000</v>
      </c>
      <c r="K32" s="3">
        <v>46203</v>
      </c>
      <c r="L32" s="2">
        <f>IF(OR(H32="Closed Won",H32="Closed Lost"), "-", DATE(2026,7,14)-K32)</f>
        <v>0</v>
      </c>
      <c r="M32" s="4" t="s">
        <v>188</v>
      </c>
      <c r="N32" s="3">
        <v>46238</v>
      </c>
    </row>
    <row r="33" spans="1:14">
      <c r="A33" s="2" t="s">
        <v>189</v>
      </c>
      <c r="B33" s="3">
        <v>46169</v>
      </c>
      <c r="C33" s="4" t="s">
        <v>190</v>
      </c>
      <c r="D33" s="4" t="s">
        <v>191</v>
      </c>
      <c r="E33" s="4" t="s">
        <v>192</v>
      </c>
      <c r="F33" s="2" t="s">
        <v>18</v>
      </c>
      <c r="G33" s="2" t="s">
        <v>36</v>
      </c>
      <c r="H33" s="2" t="s">
        <v>20</v>
      </c>
      <c r="I33" s="5" t="s">
        <v>21</v>
      </c>
      <c r="J33" s="6">
        <v>105000</v>
      </c>
      <c r="K33" s="3">
        <v>46216</v>
      </c>
      <c r="L33" s="2">
        <f>IF(OR(H33="Closed Won",H33="Closed Lost"), "-", DATE(2026,7,14)-K33)</f>
        <v>0</v>
      </c>
      <c r="M33" s="4" t="s">
        <v>193</v>
      </c>
      <c r="N33" s="2" t="s">
        <v>23</v>
      </c>
    </row>
    <row r="34" spans="1:14">
      <c r="A34" s="2" t="s">
        <v>194</v>
      </c>
      <c r="B34" s="3">
        <v>46167</v>
      </c>
      <c r="C34" s="4" t="s">
        <v>195</v>
      </c>
      <c r="D34" s="4" t="s">
        <v>196</v>
      </c>
      <c r="E34" s="4" t="s">
        <v>197</v>
      </c>
      <c r="F34" s="2" t="s">
        <v>44</v>
      </c>
      <c r="G34" s="2" t="s">
        <v>19</v>
      </c>
      <c r="H34" s="2" t="s">
        <v>66</v>
      </c>
      <c r="I34" s="7" t="s">
        <v>38</v>
      </c>
      <c r="J34" s="6">
        <v>95000</v>
      </c>
      <c r="K34" s="3">
        <v>46214</v>
      </c>
      <c r="L34" s="2">
        <f>IF(OR(H34="Closed Won",H34="Closed Lost"), "-", DATE(2026,7,14)-K34)</f>
        <v>0</v>
      </c>
      <c r="M34" s="4" t="s">
        <v>198</v>
      </c>
      <c r="N34" s="2" t="s">
        <v>23</v>
      </c>
    </row>
    <row r="35" spans="1:14">
      <c r="A35" s="2" t="s">
        <v>199</v>
      </c>
      <c r="B35" s="3">
        <v>46165</v>
      </c>
      <c r="C35" s="4" t="s">
        <v>200</v>
      </c>
      <c r="D35" s="4" t="s">
        <v>201</v>
      </c>
      <c r="E35" s="4" t="s">
        <v>202</v>
      </c>
      <c r="F35" s="2" t="s">
        <v>35</v>
      </c>
      <c r="G35" s="2" t="s">
        <v>51</v>
      </c>
      <c r="H35" s="2" t="s">
        <v>72</v>
      </c>
      <c r="I35" s="5" t="s">
        <v>21</v>
      </c>
      <c r="J35" s="6">
        <v>48000</v>
      </c>
      <c r="K35" s="3">
        <v>46192</v>
      </c>
      <c r="L35" s="2">
        <f>IF(OR(H35="Closed Won",H35="Closed Lost"), "-", DATE(2026,7,14)-K35)</f>
        <v>0</v>
      </c>
      <c r="M35" s="4" t="s">
        <v>203</v>
      </c>
      <c r="N35" s="3">
        <v>46247</v>
      </c>
    </row>
    <row r="36" spans="1:14">
      <c r="A36" s="2" t="s">
        <v>204</v>
      </c>
      <c r="B36" s="3">
        <v>46162</v>
      </c>
      <c r="C36" s="4" t="s">
        <v>205</v>
      </c>
      <c r="D36" s="4" t="s">
        <v>206</v>
      </c>
      <c r="E36" s="4" t="s">
        <v>207</v>
      </c>
      <c r="F36" s="2" t="s">
        <v>28</v>
      </c>
      <c r="G36" s="2" t="s">
        <v>45</v>
      </c>
      <c r="H36" s="2" t="s">
        <v>37</v>
      </c>
      <c r="I36" s="2" t="s">
        <v>93</v>
      </c>
      <c r="J36" s="6">
        <v>38000</v>
      </c>
      <c r="K36" s="3">
        <v>46207</v>
      </c>
      <c r="L36" s="2">
        <f>IF(OR(H36="Closed Won",H36="Closed Lost"), "-", DATE(2026,7,14)-K36)</f>
        <v>0</v>
      </c>
      <c r="M36" s="4" t="s">
        <v>208</v>
      </c>
      <c r="N36" s="3">
        <v>46262</v>
      </c>
    </row>
    <row r="37" spans="1:14">
      <c r="A37" s="2" t="s">
        <v>209</v>
      </c>
      <c r="B37" s="3">
        <v>46161</v>
      </c>
      <c r="C37" s="4" t="s">
        <v>210</v>
      </c>
      <c r="D37" s="4" t="s">
        <v>211</v>
      </c>
      <c r="E37" s="4" t="s">
        <v>212</v>
      </c>
      <c r="F37" s="2" t="s">
        <v>18</v>
      </c>
      <c r="G37" s="2" t="s">
        <v>58</v>
      </c>
      <c r="H37" s="2" t="s">
        <v>20</v>
      </c>
      <c r="I37" s="5" t="s">
        <v>21</v>
      </c>
      <c r="J37" s="6">
        <v>125000</v>
      </c>
      <c r="K37" s="3">
        <v>46215</v>
      </c>
      <c r="L37" s="2">
        <f>IF(OR(H37="Closed Won",H37="Closed Lost"), "-", DATE(2026,7,14)-K37)</f>
        <v>0</v>
      </c>
      <c r="M37" s="4" t="s">
        <v>213</v>
      </c>
      <c r="N37" s="2" t="s">
        <v>23</v>
      </c>
    </row>
    <row r="38" spans="1:14">
      <c r="A38" s="2" t="s">
        <v>214</v>
      </c>
      <c r="B38" s="3">
        <v>46159</v>
      </c>
      <c r="C38" s="4" t="s">
        <v>215</v>
      </c>
      <c r="D38" s="4" t="s">
        <v>216</v>
      </c>
      <c r="E38" s="4" t="s">
        <v>217</v>
      </c>
      <c r="F38" s="2" t="s">
        <v>44</v>
      </c>
      <c r="G38" s="2" t="s">
        <v>36</v>
      </c>
      <c r="H38" s="2" t="s">
        <v>59</v>
      </c>
      <c r="I38" s="2" t="s">
        <v>93</v>
      </c>
      <c r="J38" s="6">
        <v>72000</v>
      </c>
      <c r="K38" s="3">
        <v>46159</v>
      </c>
      <c r="L38" s="2">
        <f>IF(OR(H38="Closed Won",H38="Closed Lost"), "-", DATE(2026,7,14)-K38)</f>
        <v>0</v>
      </c>
      <c r="M38" s="4" t="s">
        <v>218</v>
      </c>
      <c r="N38" s="3">
        <v>46307</v>
      </c>
    </row>
    <row r="39" spans="1:14">
      <c r="A39" s="2" t="s">
        <v>219</v>
      </c>
      <c r="B39" s="3">
        <v>46157</v>
      </c>
      <c r="C39" s="4" t="s">
        <v>220</v>
      </c>
      <c r="D39" s="4" t="s">
        <v>221</v>
      </c>
      <c r="E39" s="4" t="s">
        <v>222</v>
      </c>
      <c r="F39" s="2" t="s">
        <v>35</v>
      </c>
      <c r="G39" s="2" t="s">
        <v>19</v>
      </c>
      <c r="H39" s="2" t="s">
        <v>20</v>
      </c>
      <c r="I39" s="7" t="s">
        <v>38</v>
      </c>
      <c r="J39" s="6">
        <v>50000</v>
      </c>
      <c r="K39" s="3">
        <v>46213</v>
      </c>
      <c r="L39" s="2">
        <f>IF(OR(H39="Closed Won",H39="Closed Lost"), "-", DATE(2026,7,14)-K39)</f>
        <v>0</v>
      </c>
      <c r="M39" s="4" t="s">
        <v>223</v>
      </c>
      <c r="N39" s="2" t="s">
        <v>23</v>
      </c>
    </row>
    <row r="40" spans="1:14">
      <c r="A40" s="2" t="s">
        <v>224</v>
      </c>
      <c r="B40" s="3">
        <v>46157</v>
      </c>
      <c r="C40" s="4" t="s">
        <v>225</v>
      </c>
      <c r="D40" s="4" t="s">
        <v>226</v>
      </c>
      <c r="E40" s="4" t="s">
        <v>227</v>
      </c>
      <c r="F40" s="2" t="s">
        <v>28</v>
      </c>
      <c r="G40" s="2" t="s">
        <v>65</v>
      </c>
      <c r="H40" s="2" t="s">
        <v>29</v>
      </c>
      <c r="I40" s="7" t="s">
        <v>38</v>
      </c>
      <c r="J40" s="6">
        <v>42000</v>
      </c>
      <c r="K40" s="3">
        <v>46206</v>
      </c>
      <c r="L40" s="2">
        <f>IF(OR(H40="Closed Won",H40="Closed Lost"), "-", DATE(2026,7,14)-K40)</f>
        <v>0</v>
      </c>
      <c r="M40" s="4" t="s">
        <v>228</v>
      </c>
      <c r="N40" s="3">
        <v>46242</v>
      </c>
    </row>
    <row r="41" spans="1:14">
      <c r="A41" s="2" t="s">
        <v>229</v>
      </c>
      <c r="B41" s="3">
        <v>46155</v>
      </c>
      <c r="C41" s="4" t="s">
        <v>230</v>
      </c>
      <c r="D41" s="4" t="s">
        <v>231</v>
      </c>
      <c r="E41" s="4" t="s">
        <v>232</v>
      </c>
      <c r="F41" s="2" t="s">
        <v>18</v>
      </c>
      <c r="G41" s="2" t="s">
        <v>45</v>
      </c>
      <c r="H41" s="2" t="s">
        <v>20</v>
      </c>
      <c r="I41" s="5" t="s">
        <v>21</v>
      </c>
      <c r="J41" s="6">
        <v>150000</v>
      </c>
      <c r="K41" s="3">
        <v>46214</v>
      </c>
      <c r="L41" s="2">
        <f>IF(OR(H41="Closed Won",H41="Closed Lost"), "-", DATE(2026,7,14)-K41)</f>
        <v>0</v>
      </c>
      <c r="M41" s="4" t="s">
        <v>233</v>
      </c>
      <c r="N41" s="2" t="s">
        <v>23</v>
      </c>
    </row>
    <row r="42" spans="1:14">
      <c r="A42" s="2" t="s">
        <v>234</v>
      </c>
      <c r="B42" s="3">
        <v>46152</v>
      </c>
      <c r="C42" s="4" t="s">
        <v>235</v>
      </c>
      <c r="D42" s="4" t="s">
        <v>236</v>
      </c>
      <c r="E42" s="4" t="s">
        <v>237</v>
      </c>
      <c r="F42" s="2" t="s">
        <v>44</v>
      </c>
      <c r="G42" s="2" t="s">
        <v>51</v>
      </c>
      <c r="H42" s="2" t="s">
        <v>52</v>
      </c>
      <c r="I42" s="7" t="s">
        <v>38</v>
      </c>
      <c r="J42" s="6">
        <v>88000</v>
      </c>
      <c r="K42" s="3">
        <v>46203</v>
      </c>
      <c r="L42" s="2">
        <f>IF(OR(H42="Closed Won",H42="Closed Lost"), "-", DATE(2026,7,14)-K42)</f>
        <v>0</v>
      </c>
      <c r="M42" s="4" t="s">
        <v>238</v>
      </c>
      <c r="N42" s="3">
        <v>46227</v>
      </c>
    </row>
    <row r="43" spans="1:14">
      <c r="A43" s="2" t="s">
        <v>239</v>
      </c>
      <c r="B43" s="3">
        <v>46149</v>
      </c>
      <c r="C43" s="4" t="s">
        <v>240</v>
      </c>
      <c r="D43" s="4" t="s">
        <v>241</v>
      </c>
      <c r="E43" s="4" t="s">
        <v>242</v>
      </c>
      <c r="F43" s="2" t="s">
        <v>35</v>
      </c>
      <c r="G43" s="2" t="s">
        <v>19</v>
      </c>
      <c r="H43" s="2" t="s">
        <v>66</v>
      </c>
      <c r="I43" s="7" t="s">
        <v>38</v>
      </c>
      <c r="J43" s="6">
        <v>55000</v>
      </c>
      <c r="K43" s="3">
        <v>46215</v>
      </c>
      <c r="L43" s="2">
        <f>IF(OR(H43="Closed Won",H43="Closed Lost"), "-", DATE(2026,7,14)-K43)</f>
        <v>0</v>
      </c>
      <c r="M43" s="4" t="s">
        <v>243</v>
      </c>
      <c r="N43" s="2" t="s">
        <v>23</v>
      </c>
    </row>
    <row r="44" spans="1:14">
      <c r="A44" s="2" t="s">
        <v>244</v>
      </c>
      <c r="B44" s="3">
        <v>46147</v>
      </c>
      <c r="C44" s="4" t="s">
        <v>245</v>
      </c>
      <c r="D44" s="4" t="s">
        <v>246</v>
      </c>
      <c r="E44" s="4" t="s">
        <v>247</v>
      </c>
      <c r="F44" s="2" t="s">
        <v>28</v>
      </c>
      <c r="G44" s="2" t="s">
        <v>45</v>
      </c>
      <c r="H44" s="2" t="s">
        <v>72</v>
      </c>
      <c r="I44" s="2" t="s">
        <v>93</v>
      </c>
      <c r="J44" s="6">
        <v>26000</v>
      </c>
      <c r="K44" s="3">
        <v>46202</v>
      </c>
      <c r="L44" s="2">
        <f>IF(OR(H44="Closed Won",H44="Closed Lost"), "-", DATE(2026,7,14)-K44)</f>
        <v>0</v>
      </c>
      <c r="M44" s="4" t="s">
        <v>248</v>
      </c>
      <c r="N44" s="3">
        <v>46262</v>
      </c>
    </row>
    <row r="45" spans="1:14">
      <c r="A45" s="2" t="s">
        <v>249</v>
      </c>
      <c r="B45" s="3">
        <v>46145</v>
      </c>
      <c r="C45" s="4" t="s">
        <v>250</v>
      </c>
      <c r="D45" s="4" t="s">
        <v>251</v>
      </c>
      <c r="E45" s="4" t="s">
        <v>252</v>
      </c>
      <c r="F45" s="2" t="s">
        <v>18</v>
      </c>
      <c r="G45" s="2" t="s">
        <v>58</v>
      </c>
      <c r="H45" s="2" t="s">
        <v>20</v>
      </c>
      <c r="I45" s="7" t="s">
        <v>38</v>
      </c>
      <c r="J45" s="6">
        <v>34000</v>
      </c>
      <c r="K45" s="3">
        <v>46216</v>
      </c>
      <c r="L45" s="2">
        <f>IF(OR(H45="Closed Won",H45="Closed Lost"), "-", DATE(2026,7,14)-K45)</f>
        <v>0</v>
      </c>
      <c r="M45" s="4" t="s">
        <v>253</v>
      </c>
      <c r="N45" s="2" t="s">
        <v>23</v>
      </c>
    </row>
    <row r="46" spans="1:14">
      <c r="A46" s="2" t="s">
        <v>254</v>
      </c>
      <c r="B46" s="3">
        <v>46143</v>
      </c>
      <c r="C46" s="4" t="s">
        <v>255</v>
      </c>
      <c r="D46" s="4" t="s">
        <v>256</v>
      </c>
      <c r="E46" s="4" t="s">
        <v>257</v>
      </c>
      <c r="F46" s="2" t="s">
        <v>44</v>
      </c>
      <c r="G46" s="2" t="s">
        <v>36</v>
      </c>
      <c r="H46" s="2" t="s">
        <v>29</v>
      </c>
      <c r="I46" s="5" t="s">
        <v>21</v>
      </c>
      <c r="J46" s="6">
        <v>160000</v>
      </c>
      <c r="K46" s="3">
        <v>46198</v>
      </c>
      <c r="L46" s="2">
        <f>IF(OR(H46="Closed Won",H46="Closed Lost"), "-", DATE(2026,7,14)-K46)</f>
        <v>0</v>
      </c>
      <c r="M46" s="4" t="s">
        <v>258</v>
      </c>
      <c r="N46" s="3">
        <v>46225</v>
      </c>
    </row>
    <row r="47" spans="1:14">
      <c r="A47" s="2" t="s">
        <v>259</v>
      </c>
      <c r="B47" s="3">
        <v>46142</v>
      </c>
      <c r="C47" s="4" t="s">
        <v>260</v>
      </c>
      <c r="D47" s="4" t="s">
        <v>261</v>
      </c>
      <c r="E47" s="4" t="s">
        <v>262</v>
      </c>
      <c r="F47" s="2" t="s">
        <v>35</v>
      </c>
      <c r="G47" s="2" t="s">
        <v>51</v>
      </c>
      <c r="H47" s="2" t="s">
        <v>59</v>
      </c>
      <c r="I47" s="7" t="s">
        <v>38</v>
      </c>
      <c r="J47" s="6">
        <v>67000</v>
      </c>
      <c r="K47" s="3">
        <v>46142</v>
      </c>
      <c r="L47" s="2">
        <f>IF(OR(H47="Closed Won",H47="Closed Lost"), "-", DATE(2026,7,14)-K47)</f>
        <v>0</v>
      </c>
      <c r="M47" s="4" t="s">
        <v>263</v>
      </c>
      <c r="N47" s="3">
        <v>46277</v>
      </c>
    </row>
    <row r="48" spans="1:14">
      <c r="A48" s="2" t="s">
        <v>264</v>
      </c>
      <c r="B48" s="3">
        <v>46139</v>
      </c>
      <c r="C48" s="4" t="s">
        <v>265</v>
      </c>
      <c r="D48" s="4" t="s">
        <v>266</v>
      </c>
      <c r="E48" s="4" t="s">
        <v>267</v>
      </c>
      <c r="F48" s="2" t="s">
        <v>28</v>
      </c>
      <c r="G48" s="2" t="s">
        <v>19</v>
      </c>
      <c r="H48" s="2" t="s">
        <v>52</v>
      </c>
      <c r="I48" s="5" t="s">
        <v>21</v>
      </c>
      <c r="J48" s="6">
        <v>110000</v>
      </c>
      <c r="K48" s="3">
        <v>46205</v>
      </c>
      <c r="L48" s="2">
        <f>IF(OR(H48="Closed Won",H48="Closed Lost"), "-", DATE(2026,7,14)-K48)</f>
        <v>0</v>
      </c>
      <c r="M48" s="4" t="s">
        <v>268</v>
      </c>
      <c r="N48" s="3">
        <v>46222</v>
      </c>
    </row>
    <row r="49" spans="1:14">
      <c r="A49" s="2" t="s">
        <v>269</v>
      </c>
      <c r="B49" s="3">
        <v>46137</v>
      </c>
      <c r="C49" s="4" t="s">
        <v>270</v>
      </c>
      <c r="D49" s="4" t="s">
        <v>271</v>
      </c>
      <c r="E49" s="4" t="s">
        <v>272</v>
      </c>
      <c r="F49" s="2" t="s">
        <v>18</v>
      </c>
      <c r="G49" s="2" t="s">
        <v>45</v>
      </c>
      <c r="H49" s="2" t="s">
        <v>20</v>
      </c>
      <c r="I49" s="7" t="s">
        <v>38</v>
      </c>
      <c r="J49" s="6">
        <v>48000</v>
      </c>
      <c r="K49" s="3">
        <v>46213</v>
      </c>
      <c r="L49" s="2">
        <f>IF(OR(H49="Closed Won",H49="Closed Lost"), "-", DATE(2026,7,14)-K49)</f>
        <v>0</v>
      </c>
      <c r="M49" s="4" t="s">
        <v>273</v>
      </c>
      <c r="N49" s="2" t="s">
        <v>23</v>
      </c>
    </row>
    <row r="50" spans="1:14">
      <c r="A50" s="2" t="s">
        <v>274</v>
      </c>
      <c r="B50" s="3">
        <v>46135</v>
      </c>
      <c r="C50" s="4" t="s">
        <v>275</v>
      </c>
      <c r="D50" s="4" t="s">
        <v>276</v>
      </c>
      <c r="E50" s="4" t="s">
        <v>277</v>
      </c>
      <c r="F50" s="2" t="s">
        <v>44</v>
      </c>
      <c r="G50" s="2" t="s">
        <v>65</v>
      </c>
      <c r="H50" s="2" t="s">
        <v>66</v>
      </c>
      <c r="I50" s="2" t="s">
        <v>93</v>
      </c>
      <c r="J50" s="6">
        <v>21000</v>
      </c>
      <c r="K50" s="3">
        <v>46207</v>
      </c>
      <c r="L50" s="2">
        <f>IF(OR(H50="Closed Won",H50="Closed Lost"), "-", DATE(2026,7,14)-K50)</f>
        <v>0</v>
      </c>
      <c r="M50" s="4" t="s">
        <v>278</v>
      </c>
      <c r="N50" s="2" t="s">
        <v>23</v>
      </c>
    </row>
    <row r="51" spans="1:14">
      <c r="A51" s="2" t="s">
        <v>279</v>
      </c>
      <c r="B51" s="3">
        <v>46127</v>
      </c>
      <c r="C51" s="4" t="s">
        <v>280</v>
      </c>
      <c r="D51" s="4" t="s">
        <v>281</v>
      </c>
      <c r="E51" s="4" t="s">
        <v>282</v>
      </c>
      <c r="F51" s="2" t="s">
        <v>35</v>
      </c>
      <c r="G51" s="2" t="s">
        <v>51</v>
      </c>
      <c r="H51" s="2" t="s">
        <v>59</v>
      </c>
      <c r="I51" s="5" t="s">
        <v>21</v>
      </c>
      <c r="J51" s="6">
        <v>80000</v>
      </c>
      <c r="K51" s="3">
        <v>46127</v>
      </c>
      <c r="L51" s="2">
        <f>IF(OR(H51="Closed Won",H51="Closed Lost"), "-", DATE(2026,7,14)-K51)</f>
        <v>0</v>
      </c>
      <c r="M51" s="4" t="s">
        <v>283</v>
      </c>
      <c r="N51" s="3">
        <v>46307</v>
      </c>
    </row>
  </sheetData>
  <conditionalFormatting sqref="H2:H51">
    <cfRule type="cellIs" dxfId="0" priority="1" operator="equal">
      <formula>"Closed Won"</formula>
    </cfRule>
    <cfRule type="cellIs" dxfId="1" priority="2" operator="equal">
      <formula>"Closed Lost"</formula>
    </cfRule>
    <cfRule type="cellIs" dxfId="2" priority="3" operator="equal">
      <formula>"Negotiation"</formula>
    </cfRule>
  </conditionalFormatting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N25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4" width="15.7109375" customWidth="1"/>
    <col min="5" max="5" width="4.7109375" customWidth="1"/>
    <col min="6" max="6" width="18.7109375" customWidth="1"/>
    <col min="7" max="7" width="15.7109375" customWidth="1"/>
    <col min="8" max="8" width="18.7109375" customWidth="1"/>
    <col min="9" max="9" width="4.7109375" customWidth="1"/>
    <col min="10" max="10" width="18.7109375" customWidth="1"/>
    <col min="11" max="13" width="14.7109375" customWidth="1"/>
    <col min="14" max="14" width="24.7109375" customWidth="1"/>
  </cols>
  <sheetData>
    <row r="1" spans="2:14">
      <c r="B1" s="8" t="s">
        <v>284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2:14">
      <c r="B2" s="9" t="s">
        <v>285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2:14">
      <c r="B4" s="10" t="s">
        <v>286</v>
      </c>
      <c r="C4" s="10"/>
      <c r="D4" s="10" t="s">
        <v>287</v>
      </c>
      <c r="E4" s="10"/>
      <c r="F4" s="10" t="s">
        <v>288</v>
      </c>
      <c r="G4" s="10"/>
      <c r="H4" s="10" t="s">
        <v>289</v>
      </c>
      <c r="I4" s="10"/>
      <c r="J4" s="10" t="s">
        <v>290</v>
      </c>
      <c r="K4" s="10"/>
      <c r="L4" s="10" t="s">
        <v>291</v>
      </c>
      <c r="M4" s="10"/>
      <c r="N4" s="10"/>
    </row>
    <row r="5" spans="2:14">
      <c r="B5" s="11">
        <f>COUNTA('Lead Data'!A2:A51)</f>
        <v>0</v>
      </c>
      <c r="C5" s="11"/>
      <c r="D5" s="11">
        <f>COUNTIF('Lead Data'!H2:H51, "Closed Won")</f>
        <v>0</v>
      </c>
      <c r="E5" s="11"/>
      <c r="F5" s="12">
        <f>D5/B5</f>
        <v>0</v>
      </c>
      <c r="G5" s="12"/>
      <c r="H5" s="13">
        <f>SUMIFS('Lead Data'!J2:J51, 'Lead Data'!H2:H51, "&lt;&gt;Closed Lost", 'Lead Data'!H2:H51, "&lt;&gt;Closed Won")</f>
        <v>0</v>
      </c>
      <c r="I5" s="13"/>
      <c r="J5" s="11">
        <f>COUNTIFS('Lead Data'!I2:I51, "High", 'Lead Data'!H2:H51, "&lt;&gt;Closed Won", 'Lead Data'!H2:H51, "&lt;&gt;Closed Lost", 'Lead Data'!L2:L51, "&gt;10")</f>
        <v>0</v>
      </c>
      <c r="K5" s="11"/>
      <c r="L5" s="14">
        <f>SUMIF('Lead Data'!H2:H51, "Closed Won", 'Lead Data'!J2:J51)</f>
        <v>0</v>
      </c>
      <c r="M5" s="14"/>
      <c r="N5" s="14"/>
    </row>
    <row r="8" spans="2:14">
      <c r="B8" s="15" t="s">
        <v>292</v>
      </c>
      <c r="F8" s="15" t="s">
        <v>293</v>
      </c>
    </row>
    <row r="9" spans="2:14">
      <c r="B9" s="1" t="s">
        <v>294</v>
      </c>
      <c r="C9" s="1" t="s">
        <v>295</v>
      </c>
      <c r="D9" s="1" t="s">
        <v>296</v>
      </c>
      <c r="F9" s="1" t="s">
        <v>7</v>
      </c>
      <c r="G9" s="1" t="s">
        <v>298</v>
      </c>
      <c r="H9" s="1" t="s">
        <v>299</v>
      </c>
    </row>
    <row r="10" spans="2:14">
      <c r="B10" s="4" t="s">
        <v>19</v>
      </c>
      <c r="C10" s="2">
        <f>COUNTIF('Lead Data'!G$2:G$51, B10)</f>
        <v>0</v>
      </c>
      <c r="D10" s="6">
        <f>SUMIFS('Lead Data'!J$2:J$51, 'Lead Data'!G$2:G$51, B10, 'Lead Data'!H$2:H$51, "Closed Won")</f>
        <v>0</v>
      </c>
      <c r="F10" s="4" t="s">
        <v>59</v>
      </c>
      <c r="G10" s="2">
        <f>COUNTIF('Lead Data'!H$2:H$51, F10)</f>
        <v>0</v>
      </c>
      <c r="H10" s="6">
        <f>SUMIF('Lead Data'!H$2:H$51, F10, 'Lead Data'!J$2:J$51)</f>
        <v>0</v>
      </c>
    </row>
    <row r="11" spans="2:14">
      <c r="B11" s="4" t="s">
        <v>45</v>
      </c>
      <c r="C11" s="2">
        <f>COUNTIF('Lead Data'!G$2:G$51, B11)</f>
        <v>0</v>
      </c>
      <c r="D11" s="6">
        <f>SUMIFS('Lead Data'!J$2:J$51, 'Lead Data'!G$2:G$51, B11, 'Lead Data'!H$2:H$51, "Closed Won")</f>
        <v>0</v>
      </c>
      <c r="F11" s="4" t="s">
        <v>72</v>
      </c>
      <c r="G11" s="2">
        <f>COUNTIF('Lead Data'!H$2:H$51, F11)</f>
        <v>0</v>
      </c>
      <c r="H11" s="6">
        <f>SUMIF('Lead Data'!H$2:H$51, F11, 'Lead Data'!J$2:J$51)</f>
        <v>0</v>
      </c>
    </row>
    <row r="12" spans="2:14">
      <c r="B12" s="4" t="s">
        <v>51</v>
      </c>
      <c r="C12" s="2">
        <f>COUNTIF('Lead Data'!G$2:G$51, B12)</f>
        <v>0</v>
      </c>
      <c r="D12" s="6">
        <f>SUMIFS('Lead Data'!J$2:J$51, 'Lead Data'!G$2:G$51, B12, 'Lead Data'!H$2:H$51, "Closed Won")</f>
        <v>0</v>
      </c>
      <c r="F12" s="4" t="s">
        <v>37</v>
      </c>
      <c r="G12" s="2">
        <f>COUNTIF('Lead Data'!H$2:H$51, F12)</f>
        <v>0</v>
      </c>
      <c r="H12" s="6">
        <f>SUMIF('Lead Data'!H$2:H$51, F12, 'Lead Data'!J$2:J$51)</f>
        <v>0</v>
      </c>
    </row>
    <row r="13" spans="2:14">
      <c r="B13" s="4" t="s">
        <v>58</v>
      </c>
      <c r="C13" s="2">
        <f>COUNTIF('Lead Data'!G$2:G$51, B13)</f>
        <v>0</v>
      </c>
      <c r="D13" s="6">
        <f>SUMIFS('Lead Data'!J$2:J$51, 'Lead Data'!G$2:G$51, B13, 'Lead Data'!H$2:H$51, "Closed Won")</f>
        <v>0</v>
      </c>
      <c r="F13" s="4" t="s">
        <v>29</v>
      </c>
      <c r="G13" s="2">
        <f>COUNTIF('Lead Data'!H$2:H$51, F13)</f>
        <v>0</v>
      </c>
      <c r="H13" s="6">
        <f>SUMIF('Lead Data'!H$2:H$51, F13, 'Lead Data'!J$2:J$51)</f>
        <v>0</v>
      </c>
    </row>
    <row r="14" spans="2:14">
      <c r="B14" s="4" t="s">
        <v>36</v>
      </c>
      <c r="C14" s="2">
        <f>COUNTIF('Lead Data'!G$2:G$51, B14)</f>
        <v>0</v>
      </c>
      <c r="D14" s="6">
        <f>SUMIFS('Lead Data'!J$2:J$51, 'Lead Data'!G$2:G$51, B14, 'Lead Data'!H$2:H$51, "Closed Won")</f>
        <v>0</v>
      </c>
      <c r="F14" s="4" t="s">
        <v>52</v>
      </c>
      <c r="G14" s="2">
        <f>COUNTIF('Lead Data'!H$2:H$51, F14)</f>
        <v>0</v>
      </c>
      <c r="H14" s="6">
        <f>SUMIF('Lead Data'!H$2:H$51, F14, 'Lead Data'!J$2:J$51)</f>
        <v>0</v>
      </c>
    </row>
    <row r="15" spans="2:14">
      <c r="B15" s="4" t="s">
        <v>65</v>
      </c>
      <c r="C15" s="2">
        <f>COUNTIF('Lead Data'!G$2:G$51, B15)</f>
        <v>0</v>
      </c>
      <c r="D15" s="6">
        <f>SUMIFS('Lead Data'!J$2:J$51, 'Lead Data'!G$2:G$51, B15, 'Lead Data'!H$2:H$51, "Closed Won")</f>
        <v>0</v>
      </c>
      <c r="F15" s="4" t="s">
        <v>20</v>
      </c>
      <c r="G15" s="2">
        <f>COUNTIF('Lead Data'!H$2:H$51, F15)</f>
        <v>0</v>
      </c>
      <c r="H15" s="6">
        <f>SUMIF('Lead Data'!H$2:H$51, F15, 'Lead Data'!J$2:J$51)</f>
        <v>0</v>
      </c>
    </row>
    <row r="16" spans="2:14">
      <c r="B16" s="16" t="s">
        <v>297</v>
      </c>
      <c r="C16" s="17">
        <f>SUM(C10:C15)</f>
        <v>0</v>
      </c>
      <c r="D16" s="18">
        <f>SUM(D10:D15)</f>
        <v>0</v>
      </c>
      <c r="F16" s="4" t="s">
        <v>66</v>
      </c>
      <c r="G16" s="2">
        <f>COUNTIF('Lead Data'!H$2:H$51, F16)</f>
        <v>0</v>
      </c>
      <c r="H16" s="6">
        <f>SUMIF('Lead Data'!H$2:H$51, F16, 'Lead Data'!J$2:J$51)</f>
        <v>0</v>
      </c>
    </row>
    <row r="17" spans="2:8">
      <c r="F17" s="16" t="s">
        <v>297</v>
      </c>
      <c r="G17" s="17">
        <f>SUM(G10:G16)</f>
        <v>0</v>
      </c>
      <c r="H17" s="18">
        <f>SUM(H10:H16)</f>
        <v>0</v>
      </c>
    </row>
    <row r="19" spans="2:8">
      <c r="B19" s="15" t="s">
        <v>300</v>
      </c>
    </row>
    <row r="20" spans="2:8">
      <c r="B20" s="1" t="s">
        <v>2</v>
      </c>
      <c r="C20" s="1" t="s">
        <v>5</v>
      </c>
      <c r="D20" s="1" t="s">
        <v>9</v>
      </c>
      <c r="E20" s="1" t="s">
        <v>301</v>
      </c>
      <c r="F20" s="1" t="s">
        <v>8</v>
      </c>
      <c r="G20" s="1" t="s">
        <v>302</v>
      </c>
    </row>
    <row r="21" spans="2:8">
      <c r="B21" s="4" t="s">
        <v>280</v>
      </c>
      <c r="C21" s="2" t="s">
        <v>35</v>
      </c>
      <c r="D21" s="6">
        <v>80000</v>
      </c>
      <c r="E21" s="2">
        <v>90</v>
      </c>
      <c r="F21" s="5" t="s">
        <v>21</v>
      </c>
      <c r="G21" s="4" t="s">
        <v>283</v>
      </c>
    </row>
    <row r="22" spans="2:8">
      <c r="B22" s="4" t="s">
        <v>260</v>
      </c>
      <c r="C22" s="2" t="s">
        <v>35</v>
      </c>
      <c r="D22" s="6">
        <v>67000</v>
      </c>
      <c r="E22" s="2">
        <v>75</v>
      </c>
      <c r="F22" s="7" t="s">
        <v>38</v>
      </c>
      <c r="G22" s="4" t="s">
        <v>263</v>
      </c>
    </row>
    <row r="23" spans="2:8">
      <c r="B23" s="4" t="s">
        <v>175</v>
      </c>
      <c r="C23" s="2" t="s">
        <v>44</v>
      </c>
      <c r="D23" s="6">
        <v>32000</v>
      </c>
      <c r="E23" s="2">
        <v>45</v>
      </c>
      <c r="F23" s="7" t="s">
        <v>38</v>
      </c>
      <c r="G23" s="4" t="s">
        <v>178</v>
      </c>
    </row>
    <row r="24" spans="2:8">
      <c r="B24" s="4" t="s">
        <v>136</v>
      </c>
      <c r="C24" s="2" t="s">
        <v>44</v>
      </c>
      <c r="D24" s="6">
        <v>90000</v>
      </c>
      <c r="E24" s="2">
        <v>31</v>
      </c>
      <c r="F24" s="5" t="s">
        <v>21</v>
      </c>
      <c r="G24" s="4" t="s">
        <v>139</v>
      </c>
    </row>
    <row r="25" spans="2:8">
      <c r="B25" s="4" t="s">
        <v>200</v>
      </c>
      <c r="C25" s="2" t="s">
        <v>35</v>
      </c>
      <c r="D25" s="6">
        <v>48000</v>
      </c>
      <c r="E25" s="2">
        <v>25</v>
      </c>
      <c r="F25" s="5" t="s">
        <v>21</v>
      </c>
      <c r="G25" s="4" t="s">
        <v>203</v>
      </c>
    </row>
  </sheetData>
  <mergeCells count="14">
    <mergeCell ref="B1:N1"/>
    <mergeCell ref="B2:N2"/>
    <mergeCell ref="B4:C4"/>
    <mergeCell ref="B5:C5"/>
    <mergeCell ref="D4:E4"/>
    <mergeCell ref="D5:E5"/>
    <mergeCell ref="F4:G4"/>
    <mergeCell ref="F5:G5"/>
    <mergeCell ref="H4:I4"/>
    <mergeCell ref="H5:I5"/>
    <mergeCell ref="J4:K4"/>
    <mergeCell ref="J5:K5"/>
    <mergeCell ref="L4:N4"/>
    <mergeCell ref="L5:N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 Data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2026-07-14T05:55:57Z</dcterms:created>
  <dcterms:modified xsi:type="dcterms:W3CDTF">2026-07-14T05:55:57Z</dcterms:modified>
</cp:coreProperties>
</file>